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 Goel\Downloads\"/>
    </mc:Choice>
  </mc:AlternateContent>
  <xr:revisionPtr revIDLastSave="0" documentId="8_{D99FEC27-5E36-4283-9258-6C756CF95823}" xr6:coauthVersionLast="47" xr6:coauthVersionMax="47" xr10:uidLastSave="{00000000-0000-0000-0000-000000000000}"/>
  <bookViews>
    <workbookView xWindow="-108" yWindow="-108" windowWidth="23256" windowHeight="12456" xr2:uid="{E3CD505F-5C55-4177-A189-96FBA6B769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2" i="1" l="1"/>
  <c r="C207" i="1"/>
  <c r="C205" i="1"/>
  <c r="H189" i="1"/>
  <c r="H190" i="1"/>
  <c r="H191" i="1"/>
  <c r="H192" i="1"/>
  <c r="H188" i="1"/>
  <c r="G189" i="1"/>
  <c r="G190" i="1"/>
  <c r="G191" i="1"/>
  <c r="G192" i="1"/>
  <c r="G188" i="1"/>
  <c r="E200" i="1"/>
  <c r="E195" i="1"/>
  <c r="F189" i="1"/>
  <c r="F190" i="1"/>
  <c r="F191" i="1"/>
  <c r="F192" i="1"/>
  <c r="F188" i="1"/>
  <c r="E189" i="1"/>
  <c r="E190" i="1"/>
  <c r="E191" i="1"/>
  <c r="E192" i="1"/>
  <c r="E188" i="1"/>
  <c r="D189" i="1"/>
  <c r="D190" i="1"/>
  <c r="D191" i="1"/>
  <c r="D192" i="1"/>
  <c r="D188" i="1"/>
  <c r="E182" i="1"/>
  <c r="E181" i="1"/>
  <c r="D151" i="1"/>
  <c r="F139" i="1"/>
  <c r="F138" i="1"/>
  <c r="F137" i="1"/>
  <c r="H130" i="1"/>
  <c r="H131" i="1"/>
  <c r="H132" i="1"/>
  <c r="H133" i="1"/>
  <c r="H129" i="1"/>
  <c r="G130" i="1"/>
  <c r="G131" i="1"/>
  <c r="G132" i="1"/>
  <c r="G133" i="1"/>
  <c r="G129" i="1"/>
  <c r="F130" i="1"/>
  <c r="F131" i="1"/>
  <c r="F132" i="1"/>
  <c r="F133" i="1"/>
  <c r="F129" i="1"/>
  <c r="E130" i="1"/>
  <c r="E131" i="1"/>
  <c r="E132" i="1"/>
  <c r="E133" i="1"/>
  <c r="E129" i="1"/>
  <c r="D130" i="1"/>
  <c r="D131" i="1"/>
  <c r="D132" i="1"/>
  <c r="D133" i="1"/>
  <c r="D129" i="1"/>
  <c r="D124" i="1"/>
  <c r="D123" i="1"/>
  <c r="D108" i="1"/>
  <c r="F99" i="1"/>
  <c r="F98" i="1"/>
  <c r="F97" i="1"/>
  <c r="H91" i="1"/>
  <c r="H92" i="1"/>
  <c r="H93" i="1"/>
  <c r="H94" i="1"/>
  <c r="H90" i="1"/>
  <c r="G91" i="1"/>
  <c r="G92" i="1"/>
  <c r="G93" i="1"/>
  <c r="G94" i="1"/>
  <c r="G90" i="1"/>
  <c r="F91" i="1"/>
  <c r="F92" i="1"/>
  <c r="F93" i="1"/>
  <c r="F94" i="1"/>
  <c r="F90" i="1"/>
  <c r="E91" i="1"/>
  <c r="E92" i="1"/>
  <c r="E93" i="1"/>
  <c r="E94" i="1"/>
  <c r="E90" i="1"/>
  <c r="D91" i="1"/>
  <c r="D92" i="1"/>
  <c r="D93" i="1"/>
  <c r="D94" i="1"/>
  <c r="D90" i="1"/>
  <c r="C85" i="1"/>
  <c r="C84" i="1"/>
  <c r="C70" i="1"/>
  <c r="C55" i="1"/>
  <c r="E63" i="1" s="1"/>
  <c r="F63" i="1" s="1"/>
  <c r="C54" i="1"/>
  <c r="E62" i="1" l="1"/>
  <c r="F62" i="1" s="1"/>
  <c r="E60" i="1"/>
  <c r="F60" i="1" s="1"/>
  <c r="E61" i="1"/>
  <c r="F61" i="1" s="1"/>
  <c r="E65" i="1" l="1"/>
</calcChain>
</file>

<file path=xl/sharedStrings.xml><?xml version="1.0" encoding="utf-8"?>
<sst xmlns="http://schemas.openxmlformats.org/spreadsheetml/2006/main" count="148" uniqueCount="124">
  <si>
    <t>Q1.</t>
  </si>
  <si>
    <t>Define Covariance and explain how it differs from Correlation in terms of scale and interpretation.</t>
  </si>
  <si>
    <t>How Covariance Differs from Correlation</t>
  </si>
  <si>
    <t>Scale :</t>
  </si>
  <si>
    <t>Covariance depends on the units of variables and correlation is unit free.</t>
  </si>
  <si>
    <t>Interpretation :</t>
  </si>
  <si>
    <t>Covariance shows direction only, not strength but correlation shows both.</t>
  </si>
  <si>
    <t>Covariance is a statistical measure that indicates the direction of the linear relationship between two variables.</t>
  </si>
  <si>
    <t>Q2.</t>
  </si>
  <si>
    <t>What does a positive, negative, and zero covariance indicate about the relationship between two variables?</t>
  </si>
  <si>
    <t>Positive covariance indicates that both variables move in the same direction.</t>
  </si>
  <si>
    <t>Negative covariance indicates that variables move in opposite directions.</t>
  </si>
  <si>
    <t>Zero covariance indicates no linear relationship between the variables.</t>
  </si>
  <si>
    <t>Q3</t>
  </si>
  <si>
    <t>Discuss the limitations of covariance as a measure of relationship between two variables. Why is correlation preferred in many cases?</t>
  </si>
  <si>
    <t>Limitations are:</t>
  </si>
  <si>
    <t>Scale-dependent</t>
  </si>
  <si>
    <t>No Standard Range</t>
  </si>
  <si>
    <t>Difficult Interpretation</t>
  </si>
  <si>
    <t>Not Comparable Across Datasets</t>
  </si>
  <si>
    <t>Sensitive to Outliers</t>
  </si>
  <si>
    <t>Why Correlation Is Preferred :</t>
  </si>
  <si>
    <t>Unit-Free Measure</t>
  </si>
  <si>
    <t>Fixed Range (−1 to +1)</t>
  </si>
  <si>
    <t>Easy Interpretation</t>
  </si>
  <si>
    <t>Comparability</t>
  </si>
  <si>
    <t>Widely Used in Analysis</t>
  </si>
  <si>
    <t>Q4.</t>
  </si>
  <si>
    <t>Explain the difference between Pearson’s correlation coefficient and Spearman’s rank correlation coefficient. When would you prefer to use Spearman’s correlation?</t>
  </si>
  <si>
    <t>Pearson's correlation coefficient measures the strength and direction of a linear relationship between two continuous variables.</t>
  </si>
  <si>
    <t>Sparman's correlation coefficient measures the strength and direction of a monotonic relationship (variables move consistently in one direction, but not necessarily linearly).</t>
  </si>
  <si>
    <t>When to Prefer Spearman’s Correlation:</t>
  </si>
  <si>
    <t>1. Data is not normally distributed</t>
  </si>
  <si>
    <t>2. Relationship is monotonic but not linear</t>
  </si>
  <si>
    <t>3. Outliers are present</t>
  </si>
  <si>
    <t>4. Variables are ordinal (ranked data)</t>
  </si>
  <si>
    <t>5. Sample size is small</t>
  </si>
  <si>
    <t>Q5.</t>
  </si>
  <si>
    <t>If the correlation coefficient between two variables X and Y is 0.85, interpret this value in context. Can you infer causation from this value? Why or why not?</t>
  </si>
  <si>
    <t>No, causation cannot be inferred from correlation alone because correlation does not imply causation, third-variable problem, reverse causality, coincidental or spurious correlation.</t>
  </si>
  <si>
    <t>Q6.</t>
  </si>
  <si>
    <t>Using the dataset below, calculate the covariance between X and Y.</t>
  </si>
  <si>
    <t>X</t>
  </si>
  <si>
    <t>Y</t>
  </si>
  <si>
    <t xml:space="preserve">Mean X = </t>
  </si>
  <si>
    <t xml:space="preserve">Mean Y = </t>
  </si>
  <si>
    <t>X-(mean X)</t>
  </si>
  <si>
    <t>Y-(mean Y)</t>
  </si>
  <si>
    <t>Product</t>
  </si>
  <si>
    <t xml:space="preserve">Sum of Products: </t>
  </si>
  <si>
    <t>Step 1:</t>
  </si>
  <si>
    <t>Step 2:</t>
  </si>
  <si>
    <t>Calculate mean</t>
  </si>
  <si>
    <t>Compute deviations and products</t>
  </si>
  <si>
    <t>Step 3:</t>
  </si>
  <si>
    <t>Calculate covariance</t>
  </si>
  <si>
    <t xml:space="preserve">cov(X,Y) = </t>
  </si>
  <si>
    <t>Sum of product/(n-1)</t>
  </si>
  <si>
    <t>Q7.</t>
  </si>
  <si>
    <t>Compute the Pearson correlation coefficient between variables A and B:</t>
  </si>
  <si>
    <t>A</t>
  </si>
  <si>
    <t>B</t>
  </si>
  <si>
    <t>Mean A:</t>
  </si>
  <si>
    <t>Mean B:</t>
  </si>
  <si>
    <t xml:space="preserve">Step 2: </t>
  </si>
  <si>
    <t>A-(mean A)</t>
  </si>
  <si>
    <t>B-(mean B)</t>
  </si>
  <si>
    <t>Sq(A-(mean A))</t>
  </si>
  <si>
    <t>Sq(B-(mean B))</t>
  </si>
  <si>
    <t>Summation (A-Abar)(B-Bbar):</t>
  </si>
  <si>
    <t xml:space="preserve">summation of square(A-Abar): </t>
  </si>
  <si>
    <t xml:space="preserve">summation of square(B-Bbar): </t>
  </si>
  <si>
    <t>Apply Pearson’s formula</t>
  </si>
  <si>
    <t xml:space="preserve">r = </t>
  </si>
  <si>
    <r>
      <t xml:space="preserve">There is a </t>
    </r>
    <r>
      <rPr>
        <b/>
        <sz val="11"/>
        <color theme="1"/>
        <rFont val="Calibri"/>
        <family val="2"/>
        <scheme val="minor"/>
      </rPr>
      <t>very strong positive linear relationship</t>
    </r>
    <r>
      <rPr>
        <sz val="11"/>
        <color theme="1"/>
        <rFont val="Calibri"/>
        <family val="2"/>
        <scheme val="minor"/>
      </rPr>
      <t xml:space="preserve"> between A and B.</t>
    </r>
  </si>
  <si>
    <t>Q8.</t>
  </si>
  <si>
    <t>The following table shows heights (in cm) and weights (in kg) of 5 students.  Find the correlation coefficient between Height and Weight.</t>
  </si>
  <si>
    <t>Height</t>
  </si>
  <si>
    <t>Weight</t>
  </si>
  <si>
    <t xml:space="preserve">Step 1: </t>
  </si>
  <si>
    <t>Calculate means</t>
  </si>
  <si>
    <t>Mean H:</t>
  </si>
  <si>
    <t>Mean W:</t>
  </si>
  <si>
    <t>Deviations and products</t>
  </si>
  <si>
    <t>H-meanH</t>
  </si>
  <si>
    <t>W- meanW</t>
  </si>
  <si>
    <t>Sqaure(H-meanH)</t>
  </si>
  <si>
    <t>Sqaure(W- meanW)</t>
  </si>
  <si>
    <t>Summations:</t>
  </si>
  <si>
    <t>Summation (H-Hbar)(W-Wbar):</t>
  </si>
  <si>
    <t xml:space="preserve">summation of square(H-Hbar): </t>
  </si>
  <si>
    <t xml:space="preserve">summation of square(W-Wbar): </t>
  </si>
  <si>
    <t>Pearson correlation formula :</t>
  </si>
  <si>
    <r>
      <t xml:space="preserve">There is a </t>
    </r>
    <r>
      <rPr>
        <b/>
        <sz val="11"/>
        <color theme="1"/>
        <rFont val="Calibri"/>
        <family val="2"/>
        <scheme val="minor"/>
      </rPr>
      <t>very strong positive correlation</t>
    </r>
    <r>
      <rPr>
        <sz val="11"/>
        <color theme="1"/>
        <rFont val="Calibri"/>
        <family val="2"/>
        <scheme val="minor"/>
      </rPr>
      <t xml:space="preserve"> between </t>
    </r>
    <r>
      <rPr>
        <b/>
        <sz val="11"/>
        <color theme="1"/>
        <rFont val="Calibri"/>
        <family val="2"/>
        <scheme val="minor"/>
      </rPr>
      <t>height and weight</t>
    </r>
    <r>
      <rPr>
        <sz val="11"/>
        <color theme="1"/>
        <rFont val="Calibri"/>
        <family val="2"/>
        <scheme val="minor"/>
      </rPr>
      <t>.</t>
    </r>
  </si>
  <si>
    <t>Q9.</t>
  </si>
  <si>
    <t>Given the dataset below, determine whether there is a positive or negative correlation between X and Y._x000B_ (No need for exact calculation, just reasoning.)</t>
  </si>
  <si>
    <t>Q10.</t>
  </si>
  <si>
    <t>Two investment portfolios have the following returns (%) over 5 years. Compute the covariance and correlation coefficient, and interpret whether the portfolios move together.</t>
  </si>
  <si>
    <t>Year</t>
  </si>
  <si>
    <t>PA</t>
  </si>
  <si>
    <t>PB</t>
  </si>
  <si>
    <t>Calculate the means</t>
  </si>
  <si>
    <t xml:space="preserve">PA mean = </t>
  </si>
  <si>
    <t xml:space="preserve">PB mean = </t>
  </si>
  <si>
    <t>PA-10</t>
  </si>
  <si>
    <t>PB-8.8</t>
  </si>
  <si>
    <t xml:space="preserve">Sum of product = </t>
  </si>
  <si>
    <t>Covariance</t>
  </si>
  <si>
    <t xml:space="preserve">cov(PA,PB) = </t>
  </si>
  <si>
    <t>Step 4:</t>
  </si>
  <si>
    <t>Standard deviations</t>
  </si>
  <si>
    <t xml:space="preserve">For PA = </t>
  </si>
  <si>
    <t>square(PA-10)</t>
  </si>
  <si>
    <t>square(PB-8.8)</t>
  </si>
  <si>
    <t xml:space="preserve">For PB = </t>
  </si>
  <si>
    <t xml:space="preserve">Step 5: </t>
  </si>
  <si>
    <t>Correlation coefficient</t>
  </si>
  <si>
    <t>r= cov(PA,PB)/rowPArowPB</t>
  </si>
  <si>
    <t>A correlation coefficient of 0.85 indicates a strong positive linear relationship between variables X and Y.</t>
  </si>
  <si>
    <r>
      <t xml:space="preserve">The covariance is </t>
    </r>
    <r>
      <rPr>
        <b/>
        <sz val="11"/>
        <color theme="1"/>
        <rFont val="Calibri"/>
        <family val="2"/>
        <scheme val="minor"/>
      </rPr>
      <t>positive</t>
    </r>
    <r>
      <rPr>
        <sz val="11"/>
        <color theme="1"/>
        <rFont val="Calibri"/>
        <family val="2"/>
        <scheme val="minor"/>
      </rPr>
      <t>, indicating that X and Y tend to increase together.</t>
    </r>
  </si>
  <si>
    <r>
      <t xml:space="preserve">There is a </t>
    </r>
    <r>
      <rPr>
        <b/>
        <sz val="11"/>
        <color theme="1"/>
        <rFont val="Calibri"/>
        <family val="2"/>
        <scheme val="minor"/>
      </rPr>
      <t>negative correlation</t>
    </r>
    <r>
      <rPr>
        <sz val="11"/>
        <color theme="1"/>
        <rFont val="Calibri"/>
        <family val="2"/>
        <scheme val="minor"/>
      </rPr>
      <t xml:space="preserve"> between X and Y.</t>
    </r>
  </si>
  <si>
    <t>As the values of X increase from 1 to 5, the values of Y decrease from 15 to 3. This opposite movement indicates a negative relationship between the two variables.</t>
  </si>
  <si>
    <r>
      <t>Correlation ≈ 0.99</t>
    </r>
    <r>
      <rPr>
        <sz val="11"/>
        <color theme="1"/>
        <rFont val="Calibri"/>
        <family val="2"/>
        <scheme val="minor"/>
      </rPr>
      <t xml:space="preserve"> → very </t>
    </r>
    <r>
      <rPr>
        <b/>
        <sz val="11"/>
        <color theme="1"/>
        <rFont val="Calibri"/>
        <family val="2"/>
        <scheme val="minor"/>
      </rPr>
      <t>strong positive</t>
    </r>
    <r>
      <rPr>
        <sz val="11"/>
        <color theme="1"/>
        <rFont val="Calibri"/>
        <family val="2"/>
        <scheme val="minor"/>
      </rPr>
      <t xml:space="preserve"> relationship</t>
    </r>
  </si>
  <si>
    <r>
      <t xml:space="preserve">Covariance is positive (2.4) → portfolios tend to move in the </t>
    </r>
    <r>
      <rPr>
        <b/>
        <sz val="11"/>
        <color theme="1"/>
        <rFont val="Calibri"/>
        <family val="2"/>
        <scheme val="minor"/>
      </rPr>
      <t>same direction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</si>
</sst>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Font="1"/>
    <xf numFmtId="0" fontId="4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</xdr:colOff>
      <xdr:row>102</xdr:row>
      <xdr:rowOff>175261</xdr:rowOff>
    </xdr:from>
    <xdr:to>
      <xdr:col>4</xdr:col>
      <xdr:colOff>311467</xdr:colOff>
      <xdr:row>105</xdr:row>
      <xdr:rowOff>45721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25C929-3736-9182-9152-3465B7C5A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6380" y="18829021"/>
          <a:ext cx="1561147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</xdr:row>
      <xdr:rowOff>1</xdr:rowOff>
    </xdr:from>
    <xdr:to>
      <xdr:col>5</xdr:col>
      <xdr:colOff>503132</xdr:colOff>
      <xdr:row>150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D5991F-7450-906F-A133-06587AC83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5900" y="26151841"/>
          <a:ext cx="2446232" cy="13182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A7C5-EDB2-4489-B5D0-F01053ACC7F9}">
  <dimension ref="A1:H218"/>
  <sheetViews>
    <sheetView tabSelected="1" topLeftCell="A207" zoomScale="97" workbookViewId="0">
      <selection activeCell="C70" sqref="C70"/>
    </sheetView>
  </sheetViews>
  <sheetFormatPr defaultRowHeight="14.4" x14ac:dyDescent="0.3"/>
  <cols>
    <col min="1" max="1" width="12.77734375" style="3" customWidth="1"/>
    <col min="4" max="4" width="9.77734375" customWidth="1"/>
    <col min="5" max="5" width="9.6640625" customWidth="1"/>
    <col min="7" max="8" width="13.6640625" customWidth="1"/>
  </cols>
  <sheetData>
    <row r="1" spans="1:4" ht="15.6" x14ac:dyDescent="0.3">
      <c r="A1" s="3" t="s">
        <v>0</v>
      </c>
      <c r="B1" s="4" t="s">
        <v>1</v>
      </c>
    </row>
    <row r="3" spans="1:4" x14ac:dyDescent="0.3">
      <c r="B3" t="s">
        <v>7</v>
      </c>
    </row>
    <row r="4" spans="1:4" x14ac:dyDescent="0.3">
      <c r="B4" s="1" t="s">
        <v>2</v>
      </c>
    </row>
    <row r="5" spans="1:4" x14ac:dyDescent="0.3">
      <c r="B5" t="s">
        <v>3</v>
      </c>
      <c r="C5" t="s">
        <v>4</v>
      </c>
    </row>
    <row r="6" spans="1:4" x14ac:dyDescent="0.3">
      <c r="B6" t="s">
        <v>5</v>
      </c>
      <c r="D6" t="s">
        <v>6</v>
      </c>
    </row>
    <row r="8" spans="1:4" ht="15.6" x14ac:dyDescent="0.3">
      <c r="A8" s="3" t="s">
        <v>8</v>
      </c>
      <c r="B8" s="4" t="s">
        <v>9</v>
      </c>
    </row>
    <row r="10" spans="1:4" x14ac:dyDescent="0.3">
      <c r="B10" t="s">
        <v>10</v>
      </c>
    </row>
    <row r="11" spans="1:4" x14ac:dyDescent="0.3">
      <c r="B11" t="s">
        <v>11</v>
      </c>
    </row>
    <row r="12" spans="1:4" x14ac:dyDescent="0.3">
      <c r="B12" t="s">
        <v>12</v>
      </c>
    </row>
    <row r="14" spans="1:4" ht="15.6" x14ac:dyDescent="0.3">
      <c r="A14" s="3" t="s">
        <v>13</v>
      </c>
      <c r="B14" s="4" t="s">
        <v>14</v>
      </c>
    </row>
    <row r="16" spans="1:4" x14ac:dyDescent="0.3">
      <c r="B16" s="5" t="s">
        <v>15</v>
      </c>
    </row>
    <row r="17" spans="1:3" x14ac:dyDescent="0.3">
      <c r="C17" t="s">
        <v>16</v>
      </c>
    </row>
    <row r="18" spans="1:3" x14ac:dyDescent="0.3">
      <c r="C18" t="s">
        <v>17</v>
      </c>
    </row>
    <row r="19" spans="1:3" x14ac:dyDescent="0.3">
      <c r="C19" t="s">
        <v>18</v>
      </c>
    </row>
    <row r="20" spans="1:3" x14ac:dyDescent="0.3">
      <c r="C20" t="s">
        <v>19</v>
      </c>
    </row>
    <row r="21" spans="1:3" x14ac:dyDescent="0.3">
      <c r="C21" t="s">
        <v>20</v>
      </c>
    </row>
    <row r="23" spans="1:3" x14ac:dyDescent="0.3">
      <c r="B23" s="5" t="s">
        <v>21</v>
      </c>
    </row>
    <row r="24" spans="1:3" x14ac:dyDescent="0.3">
      <c r="C24" t="s">
        <v>22</v>
      </c>
    </row>
    <row r="25" spans="1:3" x14ac:dyDescent="0.3">
      <c r="C25" t="s">
        <v>23</v>
      </c>
    </row>
    <row r="26" spans="1:3" x14ac:dyDescent="0.3">
      <c r="C26" t="s">
        <v>24</v>
      </c>
    </row>
    <row r="27" spans="1:3" x14ac:dyDescent="0.3">
      <c r="C27" t="s">
        <v>25</v>
      </c>
    </row>
    <row r="28" spans="1:3" x14ac:dyDescent="0.3">
      <c r="C28" t="s">
        <v>26</v>
      </c>
    </row>
    <row r="30" spans="1:3" ht="15.6" x14ac:dyDescent="0.3">
      <c r="A30" s="3" t="s">
        <v>27</v>
      </c>
      <c r="B30" s="4" t="s">
        <v>28</v>
      </c>
    </row>
    <row r="32" spans="1:3" x14ac:dyDescent="0.3">
      <c r="B32" t="s">
        <v>29</v>
      </c>
    </row>
    <row r="33" spans="1:6" x14ac:dyDescent="0.3">
      <c r="B33" t="s">
        <v>30</v>
      </c>
    </row>
    <row r="35" spans="1:6" x14ac:dyDescent="0.3">
      <c r="B35" s="6" t="s">
        <v>31</v>
      </c>
    </row>
    <row r="36" spans="1:6" x14ac:dyDescent="0.3">
      <c r="D36" t="s">
        <v>32</v>
      </c>
    </row>
    <row r="37" spans="1:6" x14ac:dyDescent="0.3">
      <c r="D37" t="s">
        <v>33</v>
      </c>
    </row>
    <row r="38" spans="1:6" x14ac:dyDescent="0.3">
      <c r="D38" t="s">
        <v>34</v>
      </c>
    </row>
    <row r="39" spans="1:6" x14ac:dyDescent="0.3">
      <c r="D39" t="s">
        <v>35</v>
      </c>
    </row>
    <row r="40" spans="1:6" x14ac:dyDescent="0.3">
      <c r="D40" t="s">
        <v>36</v>
      </c>
    </row>
    <row r="42" spans="1:6" ht="15.6" x14ac:dyDescent="0.3">
      <c r="A42" s="3" t="s">
        <v>37</v>
      </c>
      <c r="B42" s="4" t="s">
        <v>38</v>
      </c>
    </row>
    <row r="44" spans="1:6" x14ac:dyDescent="0.3">
      <c r="B44" s="7" t="s">
        <v>118</v>
      </c>
    </row>
    <row r="45" spans="1:6" x14ac:dyDescent="0.3">
      <c r="B45" t="s">
        <v>39</v>
      </c>
    </row>
    <row r="47" spans="1:6" ht="15.6" x14ac:dyDescent="0.3">
      <c r="A47" s="3" t="s">
        <v>40</v>
      </c>
      <c r="B47" s="4" t="s">
        <v>41</v>
      </c>
      <c r="C47" s="4"/>
      <c r="D47" s="4"/>
      <c r="E47" s="4"/>
      <c r="F47" s="4"/>
    </row>
    <row r="48" spans="1:6" ht="15.6" x14ac:dyDescent="0.3">
      <c r="B48" s="4"/>
      <c r="C48" s="4"/>
      <c r="D48" s="4"/>
      <c r="E48" s="4"/>
      <c r="F48" s="4"/>
    </row>
    <row r="49" spans="1:6" ht="15.6" x14ac:dyDescent="0.3">
      <c r="B49" s="8" t="s">
        <v>42</v>
      </c>
      <c r="C49" s="8">
        <v>2</v>
      </c>
      <c r="D49" s="8">
        <v>4</v>
      </c>
      <c r="E49" s="8">
        <v>6</v>
      </c>
      <c r="F49" s="8">
        <v>8</v>
      </c>
    </row>
    <row r="50" spans="1:6" ht="15.6" x14ac:dyDescent="0.3">
      <c r="B50" s="8" t="s">
        <v>43</v>
      </c>
      <c r="C50" s="8">
        <v>3</v>
      </c>
      <c r="D50" s="8">
        <v>7</v>
      </c>
      <c r="E50" s="8">
        <v>5</v>
      </c>
      <c r="F50" s="8">
        <v>10</v>
      </c>
    </row>
    <row r="53" spans="1:6" x14ac:dyDescent="0.3">
      <c r="A53" s="3" t="s">
        <v>50</v>
      </c>
      <c r="B53" s="9" t="s">
        <v>52</v>
      </c>
    </row>
    <row r="54" spans="1:6" x14ac:dyDescent="0.3">
      <c r="B54" t="s">
        <v>44</v>
      </c>
      <c r="C54">
        <f>AVERAGE(C49:F49)</f>
        <v>5</v>
      </c>
    </row>
    <row r="55" spans="1:6" x14ac:dyDescent="0.3">
      <c r="B55" t="s">
        <v>45</v>
      </c>
      <c r="C55">
        <f>AVERAGE(C50:F50)</f>
        <v>6.25</v>
      </c>
    </row>
    <row r="58" spans="1:6" x14ac:dyDescent="0.3">
      <c r="A58" s="3" t="s">
        <v>51</v>
      </c>
      <c r="B58" s="9" t="s">
        <v>53</v>
      </c>
    </row>
    <row r="59" spans="1:6" x14ac:dyDescent="0.3">
      <c r="B59" s="2" t="s">
        <v>42</v>
      </c>
      <c r="C59" s="2" t="s">
        <v>43</v>
      </c>
      <c r="D59" s="2" t="s">
        <v>46</v>
      </c>
      <c r="E59" s="2" t="s">
        <v>47</v>
      </c>
      <c r="F59" s="2" t="s">
        <v>48</v>
      </c>
    </row>
    <row r="60" spans="1:6" x14ac:dyDescent="0.3">
      <c r="B60" s="2">
        <v>2</v>
      </c>
      <c r="C60" s="2">
        <v>3</v>
      </c>
      <c r="D60" s="2">
        <v>-3</v>
      </c>
      <c r="E60" s="2">
        <f>C60-$C$55</f>
        <v>-3.25</v>
      </c>
      <c r="F60" s="2">
        <f>D60*E60</f>
        <v>9.75</v>
      </c>
    </row>
    <row r="61" spans="1:6" x14ac:dyDescent="0.3">
      <c r="B61" s="2">
        <v>4</v>
      </c>
      <c r="C61" s="2">
        <v>7</v>
      </c>
      <c r="D61" s="2">
        <v>-1</v>
      </c>
      <c r="E61" s="2">
        <f t="shared" ref="E61:E63" si="0">C61-$C$55</f>
        <v>0.75</v>
      </c>
      <c r="F61" s="2">
        <f t="shared" ref="F61:F63" si="1">D61*E61</f>
        <v>-0.75</v>
      </c>
    </row>
    <row r="62" spans="1:6" x14ac:dyDescent="0.3">
      <c r="B62" s="2">
        <v>6</v>
      </c>
      <c r="C62" s="2">
        <v>5</v>
      </c>
      <c r="D62" s="2">
        <v>1</v>
      </c>
      <c r="E62" s="2">
        <f t="shared" si="0"/>
        <v>-1.25</v>
      </c>
      <c r="F62" s="2">
        <f t="shared" si="1"/>
        <v>-1.25</v>
      </c>
    </row>
    <row r="63" spans="1:6" x14ac:dyDescent="0.3">
      <c r="B63" s="2">
        <v>8</v>
      </c>
      <c r="C63" s="2">
        <v>10</v>
      </c>
      <c r="D63" s="2">
        <v>3</v>
      </c>
      <c r="E63" s="2">
        <f t="shared" si="0"/>
        <v>3.75</v>
      </c>
      <c r="F63" s="2">
        <f t="shared" si="1"/>
        <v>11.25</v>
      </c>
    </row>
    <row r="65" spans="1:7" x14ac:dyDescent="0.3">
      <c r="C65" t="s">
        <v>49</v>
      </c>
      <c r="E65">
        <f>SUM(F60:F63)</f>
        <v>19</v>
      </c>
    </row>
    <row r="67" spans="1:7" x14ac:dyDescent="0.3">
      <c r="A67" s="3" t="s">
        <v>54</v>
      </c>
      <c r="B67" s="9" t="s">
        <v>55</v>
      </c>
    </row>
    <row r="69" spans="1:7" x14ac:dyDescent="0.3">
      <c r="B69" t="s">
        <v>56</v>
      </c>
      <c r="C69" t="s">
        <v>57</v>
      </c>
    </row>
    <row r="70" spans="1:7" x14ac:dyDescent="0.3">
      <c r="C70" s="3">
        <f>E65/3</f>
        <v>6.333333333333333</v>
      </c>
    </row>
    <row r="73" spans="1:7" x14ac:dyDescent="0.3">
      <c r="B73" s="7" t="s">
        <v>119</v>
      </c>
    </row>
    <row r="76" spans="1:7" ht="15.6" x14ac:dyDescent="0.3">
      <c r="A76" s="3" t="s">
        <v>58</v>
      </c>
      <c r="B76" s="4" t="s">
        <v>59</v>
      </c>
      <c r="C76" s="4"/>
      <c r="D76" s="4"/>
      <c r="E76" s="4"/>
      <c r="F76" s="4"/>
      <c r="G76" s="4"/>
    </row>
    <row r="77" spans="1:7" ht="15.6" x14ac:dyDescent="0.3">
      <c r="B77" s="4"/>
      <c r="C77" s="4"/>
      <c r="D77" s="4"/>
      <c r="E77" s="4"/>
      <c r="F77" s="4"/>
      <c r="G77" s="4"/>
    </row>
    <row r="78" spans="1:7" ht="15.6" x14ac:dyDescent="0.3">
      <c r="B78" s="8" t="s">
        <v>60</v>
      </c>
      <c r="C78" s="8">
        <v>10</v>
      </c>
      <c r="D78" s="8">
        <v>20</v>
      </c>
      <c r="E78" s="8">
        <v>30</v>
      </c>
      <c r="F78" s="8">
        <v>40</v>
      </c>
      <c r="G78" s="8">
        <v>50</v>
      </c>
    </row>
    <row r="79" spans="1:7" ht="15.6" x14ac:dyDescent="0.3">
      <c r="B79" s="8" t="s">
        <v>61</v>
      </c>
      <c r="C79" s="8">
        <v>8</v>
      </c>
      <c r="D79" s="8">
        <v>14</v>
      </c>
      <c r="E79" s="8">
        <v>18</v>
      </c>
      <c r="F79" s="8">
        <v>24</v>
      </c>
      <c r="G79" s="8">
        <v>28</v>
      </c>
    </row>
    <row r="82" spans="1:8" x14ac:dyDescent="0.3">
      <c r="A82" s="3" t="s">
        <v>50</v>
      </c>
      <c r="B82" s="10" t="s">
        <v>52</v>
      </c>
    </row>
    <row r="84" spans="1:8" x14ac:dyDescent="0.3">
      <c r="B84" t="s">
        <v>62</v>
      </c>
      <c r="C84">
        <f>AVERAGE(C78:G78)</f>
        <v>30</v>
      </c>
    </row>
    <row r="85" spans="1:8" x14ac:dyDescent="0.3">
      <c r="B85" t="s">
        <v>63</v>
      </c>
      <c r="C85">
        <f>AVERAGE(C79:G79)</f>
        <v>18.399999999999999</v>
      </c>
    </row>
    <row r="87" spans="1:8" x14ac:dyDescent="0.3">
      <c r="A87" s="3" t="s">
        <v>64</v>
      </c>
      <c r="B87" s="10" t="s">
        <v>53</v>
      </c>
    </row>
    <row r="89" spans="1:8" x14ac:dyDescent="0.3">
      <c r="B89" s="2" t="s">
        <v>60</v>
      </c>
      <c r="C89" s="2" t="s">
        <v>61</v>
      </c>
      <c r="D89" s="2" t="s">
        <v>65</v>
      </c>
      <c r="E89" s="2" t="s">
        <v>66</v>
      </c>
      <c r="F89" s="2" t="s">
        <v>48</v>
      </c>
      <c r="G89" s="2" t="s">
        <v>67</v>
      </c>
      <c r="H89" s="2" t="s">
        <v>68</v>
      </c>
    </row>
    <row r="90" spans="1:8" x14ac:dyDescent="0.3">
      <c r="B90" s="2">
        <v>10</v>
      </c>
      <c r="C90" s="2">
        <v>8</v>
      </c>
      <c r="D90" s="2">
        <f>B90-$C$84</f>
        <v>-20</v>
      </c>
      <c r="E90" s="2">
        <f>C90-$C$85</f>
        <v>-10.399999999999999</v>
      </c>
      <c r="F90" s="2">
        <f>D90*E90</f>
        <v>207.99999999999997</v>
      </c>
      <c r="G90" s="2">
        <f>POWER(D90,2)</f>
        <v>400</v>
      </c>
      <c r="H90" s="2">
        <f>POWER(E90,2)</f>
        <v>108.15999999999997</v>
      </c>
    </row>
    <row r="91" spans="1:8" x14ac:dyDescent="0.3">
      <c r="B91" s="2">
        <v>20</v>
      </c>
      <c r="C91" s="2">
        <v>14</v>
      </c>
      <c r="D91" s="2">
        <f t="shared" ref="D91:D94" si="2">B91-$C$84</f>
        <v>-10</v>
      </c>
      <c r="E91" s="2">
        <f t="shared" ref="E91:E94" si="3">C91-$C$85</f>
        <v>-4.3999999999999986</v>
      </c>
      <c r="F91" s="2">
        <f t="shared" ref="F91:F94" si="4">D91*E91</f>
        <v>43.999999999999986</v>
      </c>
      <c r="G91" s="2">
        <f t="shared" ref="G91:G94" si="5">POWER(D91,2)</f>
        <v>100</v>
      </c>
      <c r="H91" s="2">
        <f t="shared" ref="H91:H94" si="6">POWER(E91,2)</f>
        <v>19.359999999999989</v>
      </c>
    </row>
    <row r="92" spans="1:8" x14ac:dyDescent="0.3">
      <c r="B92" s="2">
        <v>30</v>
      </c>
      <c r="C92" s="2">
        <v>18</v>
      </c>
      <c r="D92" s="2">
        <f t="shared" si="2"/>
        <v>0</v>
      </c>
      <c r="E92" s="2">
        <f t="shared" si="3"/>
        <v>-0.39999999999999858</v>
      </c>
      <c r="F92" s="2">
        <f t="shared" si="4"/>
        <v>0</v>
      </c>
      <c r="G92" s="2">
        <f t="shared" si="5"/>
        <v>0</v>
      </c>
      <c r="H92" s="2">
        <f t="shared" si="6"/>
        <v>0.15999999999999887</v>
      </c>
    </row>
    <row r="93" spans="1:8" x14ac:dyDescent="0.3">
      <c r="B93" s="2">
        <v>40</v>
      </c>
      <c r="C93" s="2">
        <v>24</v>
      </c>
      <c r="D93" s="2">
        <f t="shared" si="2"/>
        <v>10</v>
      </c>
      <c r="E93" s="2">
        <f t="shared" si="3"/>
        <v>5.6000000000000014</v>
      </c>
      <c r="F93" s="2">
        <f t="shared" si="4"/>
        <v>56.000000000000014</v>
      </c>
      <c r="G93" s="2">
        <f t="shared" si="5"/>
        <v>100</v>
      </c>
      <c r="H93" s="2">
        <f t="shared" si="6"/>
        <v>31.360000000000017</v>
      </c>
    </row>
    <row r="94" spans="1:8" x14ac:dyDescent="0.3">
      <c r="B94" s="2">
        <v>50</v>
      </c>
      <c r="C94" s="2">
        <v>28</v>
      </c>
      <c r="D94" s="2">
        <f t="shared" si="2"/>
        <v>20</v>
      </c>
      <c r="E94" s="2">
        <f t="shared" si="3"/>
        <v>9.6000000000000014</v>
      </c>
      <c r="F94" s="2">
        <f t="shared" si="4"/>
        <v>192.00000000000003</v>
      </c>
      <c r="G94" s="2">
        <f t="shared" si="5"/>
        <v>400</v>
      </c>
      <c r="H94" s="2">
        <f t="shared" si="6"/>
        <v>92.160000000000025</v>
      </c>
    </row>
    <row r="97" spans="1:6" x14ac:dyDescent="0.3">
      <c r="C97" t="s">
        <v>69</v>
      </c>
      <c r="F97">
        <f>SUM(F90:F94)</f>
        <v>500</v>
      </c>
    </row>
    <row r="98" spans="1:6" x14ac:dyDescent="0.3">
      <c r="C98" t="s">
        <v>70</v>
      </c>
      <c r="F98">
        <f>SUM(G90:G94)</f>
        <v>1000</v>
      </c>
    </row>
    <row r="99" spans="1:6" x14ac:dyDescent="0.3">
      <c r="C99" t="s">
        <v>71</v>
      </c>
      <c r="F99">
        <f>SUM(H90:H94)</f>
        <v>251.2</v>
      </c>
    </row>
    <row r="102" spans="1:6" x14ac:dyDescent="0.3">
      <c r="A102" s="3" t="s">
        <v>54</v>
      </c>
      <c r="B102" s="10" t="s">
        <v>72</v>
      </c>
    </row>
    <row r="108" spans="1:6" x14ac:dyDescent="0.3">
      <c r="C108" t="s">
        <v>73</v>
      </c>
      <c r="D108" s="3">
        <f>(F97)/SQRT(F98*F99)</f>
        <v>0.99760860558452769</v>
      </c>
    </row>
    <row r="111" spans="1:6" x14ac:dyDescent="0.3">
      <c r="B111" t="s">
        <v>74</v>
      </c>
    </row>
    <row r="114" spans="1:8" ht="15.6" x14ac:dyDescent="0.3">
      <c r="A114" s="3" t="s">
        <v>75</v>
      </c>
      <c r="B114" s="4" t="s">
        <v>76</v>
      </c>
    </row>
    <row r="116" spans="1:8" ht="15.6" x14ac:dyDescent="0.3">
      <c r="B116" s="8" t="s">
        <v>77</v>
      </c>
      <c r="C116" s="8">
        <v>150</v>
      </c>
      <c r="D116" s="8">
        <v>160</v>
      </c>
      <c r="E116" s="8">
        <v>165</v>
      </c>
      <c r="F116" s="8">
        <v>170</v>
      </c>
      <c r="G116" s="8">
        <v>180</v>
      </c>
    </row>
    <row r="117" spans="1:8" ht="15.6" x14ac:dyDescent="0.3">
      <c r="B117" s="8" t="s">
        <v>78</v>
      </c>
      <c r="C117" s="8">
        <v>50</v>
      </c>
      <c r="D117" s="8">
        <v>55</v>
      </c>
      <c r="E117" s="8">
        <v>58</v>
      </c>
      <c r="F117" s="8">
        <v>62</v>
      </c>
      <c r="G117" s="8">
        <v>70</v>
      </c>
    </row>
    <row r="121" spans="1:8" x14ac:dyDescent="0.3">
      <c r="A121" s="3" t="s">
        <v>79</v>
      </c>
      <c r="B121" s="11" t="s">
        <v>80</v>
      </c>
    </row>
    <row r="123" spans="1:8" x14ac:dyDescent="0.3">
      <c r="C123" t="s">
        <v>81</v>
      </c>
      <c r="D123">
        <f>AVERAGE(C116:G116)</f>
        <v>165</v>
      </c>
    </row>
    <row r="124" spans="1:8" x14ac:dyDescent="0.3">
      <c r="C124" t="s">
        <v>82</v>
      </c>
      <c r="D124">
        <f>AVERAGE(C117:G117)</f>
        <v>59</v>
      </c>
    </row>
    <row r="126" spans="1:8" x14ac:dyDescent="0.3">
      <c r="A126" s="3" t="s">
        <v>51</v>
      </c>
      <c r="B126" s="11" t="s">
        <v>83</v>
      </c>
    </row>
    <row r="128" spans="1:8" x14ac:dyDescent="0.3">
      <c r="B128" s="2" t="s">
        <v>77</v>
      </c>
      <c r="C128" s="2" t="s">
        <v>78</v>
      </c>
      <c r="D128" s="2" t="s">
        <v>84</v>
      </c>
      <c r="E128" s="2" t="s">
        <v>85</v>
      </c>
      <c r="F128" s="2" t="s">
        <v>48</v>
      </c>
      <c r="G128" s="2" t="s">
        <v>86</v>
      </c>
      <c r="H128" s="2" t="s">
        <v>87</v>
      </c>
    </row>
    <row r="129" spans="1:8" x14ac:dyDescent="0.3">
      <c r="B129" s="2">
        <v>150</v>
      </c>
      <c r="C129" s="2">
        <v>50</v>
      </c>
      <c r="D129" s="2">
        <f>B129-$D$123</f>
        <v>-15</v>
      </c>
      <c r="E129" s="2">
        <f>C129-$D$124</f>
        <v>-9</v>
      </c>
      <c r="F129" s="2">
        <f>D129*E129</f>
        <v>135</v>
      </c>
      <c r="G129" s="2">
        <f>POWER(D129,2)</f>
        <v>225</v>
      </c>
      <c r="H129" s="2">
        <f>POWER(E129,2)</f>
        <v>81</v>
      </c>
    </row>
    <row r="130" spans="1:8" x14ac:dyDescent="0.3">
      <c r="B130" s="2">
        <v>160</v>
      </c>
      <c r="C130" s="2">
        <v>55</v>
      </c>
      <c r="D130" s="2">
        <f t="shared" ref="D130:D133" si="7">B130-$D$123</f>
        <v>-5</v>
      </c>
      <c r="E130" s="2">
        <f t="shared" ref="E130:E133" si="8">C130-$D$124</f>
        <v>-4</v>
      </c>
      <c r="F130" s="2">
        <f t="shared" ref="F130:F133" si="9">D130*E130</f>
        <v>20</v>
      </c>
      <c r="G130" s="2">
        <f t="shared" ref="G130:G133" si="10">POWER(D130,2)</f>
        <v>25</v>
      </c>
      <c r="H130" s="2">
        <f t="shared" ref="H130:H133" si="11">POWER(E130,2)</f>
        <v>16</v>
      </c>
    </row>
    <row r="131" spans="1:8" x14ac:dyDescent="0.3">
      <c r="B131" s="2">
        <v>165</v>
      </c>
      <c r="C131" s="2">
        <v>58</v>
      </c>
      <c r="D131" s="2">
        <f t="shared" si="7"/>
        <v>0</v>
      </c>
      <c r="E131" s="2">
        <f t="shared" si="8"/>
        <v>-1</v>
      </c>
      <c r="F131" s="2">
        <f t="shared" si="9"/>
        <v>0</v>
      </c>
      <c r="G131" s="2">
        <f t="shared" si="10"/>
        <v>0</v>
      </c>
      <c r="H131" s="2">
        <f t="shared" si="11"/>
        <v>1</v>
      </c>
    </row>
    <row r="132" spans="1:8" x14ac:dyDescent="0.3">
      <c r="B132" s="2">
        <v>170</v>
      </c>
      <c r="C132" s="2">
        <v>62</v>
      </c>
      <c r="D132" s="2">
        <f t="shared" si="7"/>
        <v>5</v>
      </c>
      <c r="E132" s="2">
        <f t="shared" si="8"/>
        <v>3</v>
      </c>
      <c r="F132" s="2">
        <f t="shared" si="9"/>
        <v>15</v>
      </c>
      <c r="G132" s="2">
        <f t="shared" si="10"/>
        <v>25</v>
      </c>
      <c r="H132" s="2">
        <f t="shared" si="11"/>
        <v>9</v>
      </c>
    </row>
    <row r="133" spans="1:8" x14ac:dyDescent="0.3">
      <c r="B133" s="2">
        <v>180</v>
      </c>
      <c r="C133" s="2">
        <v>70</v>
      </c>
      <c r="D133" s="2">
        <f t="shared" si="7"/>
        <v>15</v>
      </c>
      <c r="E133" s="2">
        <f t="shared" si="8"/>
        <v>11</v>
      </c>
      <c r="F133" s="2">
        <f t="shared" si="9"/>
        <v>165</v>
      </c>
      <c r="G133" s="2">
        <f t="shared" si="10"/>
        <v>225</v>
      </c>
      <c r="H133" s="2">
        <f t="shared" si="11"/>
        <v>121</v>
      </c>
    </row>
    <row r="135" spans="1:8" x14ac:dyDescent="0.3">
      <c r="A135" s="3" t="s">
        <v>54</v>
      </c>
      <c r="B135" s="11" t="s">
        <v>88</v>
      </c>
    </row>
    <row r="137" spans="1:8" x14ac:dyDescent="0.3">
      <c r="C137" t="s">
        <v>89</v>
      </c>
      <c r="F137">
        <f>SUM(F129:F133)</f>
        <v>335</v>
      </c>
    </row>
    <row r="138" spans="1:8" x14ac:dyDescent="0.3">
      <c r="C138" t="s">
        <v>90</v>
      </c>
      <c r="F138">
        <f>SUM(G129:G133)</f>
        <v>500</v>
      </c>
    </row>
    <row r="139" spans="1:8" x14ac:dyDescent="0.3">
      <c r="C139" t="s">
        <v>91</v>
      </c>
      <c r="F139">
        <f>SUM(H129:H133)</f>
        <v>228</v>
      </c>
    </row>
    <row r="142" spans="1:8" x14ac:dyDescent="0.3">
      <c r="A142" s="3" t="s">
        <v>54</v>
      </c>
      <c r="B142" s="11" t="s">
        <v>92</v>
      </c>
    </row>
    <row r="151" spans="1:7" x14ac:dyDescent="0.3">
      <c r="C151" t="s">
        <v>73</v>
      </c>
      <c r="D151" s="3">
        <f>F137/SQRT(F138*F139)</f>
        <v>0.99218437024647965</v>
      </c>
    </row>
    <row r="154" spans="1:7" x14ac:dyDescent="0.3">
      <c r="B154" t="s">
        <v>93</v>
      </c>
    </row>
    <row r="158" spans="1:7" ht="15.6" x14ac:dyDescent="0.3">
      <c r="A158" s="3" t="s">
        <v>94</v>
      </c>
      <c r="B158" s="4" t="s">
        <v>95</v>
      </c>
      <c r="C158" s="4"/>
      <c r="D158" s="4"/>
      <c r="E158" s="4"/>
      <c r="F158" s="4"/>
      <c r="G158" s="4"/>
    </row>
    <row r="159" spans="1:7" ht="15.6" x14ac:dyDescent="0.3">
      <c r="B159" s="4"/>
      <c r="C159" s="4"/>
      <c r="D159" s="4"/>
      <c r="E159" s="4"/>
      <c r="F159" s="4"/>
      <c r="G159" s="4"/>
    </row>
    <row r="160" spans="1:7" ht="15.6" x14ac:dyDescent="0.3">
      <c r="B160" s="8" t="s">
        <v>42</v>
      </c>
      <c r="C160" s="8">
        <v>1</v>
      </c>
      <c r="D160" s="8">
        <v>2</v>
      </c>
      <c r="E160" s="8">
        <v>3</v>
      </c>
      <c r="F160" s="8">
        <v>4</v>
      </c>
      <c r="G160" s="8">
        <v>5</v>
      </c>
    </row>
    <row r="161" spans="1:7" ht="15.6" x14ac:dyDescent="0.3">
      <c r="B161" s="8" t="s">
        <v>43</v>
      </c>
      <c r="C161" s="8">
        <v>15</v>
      </c>
      <c r="D161" s="8">
        <v>12</v>
      </c>
      <c r="E161" s="8">
        <v>9</v>
      </c>
      <c r="F161" s="8">
        <v>7</v>
      </c>
      <c r="G161" s="8">
        <v>3</v>
      </c>
    </row>
    <row r="162" spans="1:7" ht="15.6" x14ac:dyDescent="0.3">
      <c r="B162" s="4"/>
      <c r="C162" s="4"/>
      <c r="D162" s="4"/>
      <c r="E162" s="4"/>
      <c r="F162" s="4"/>
      <c r="G162" s="4"/>
    </row>
    <row r="164" spans="1:7" x14ac:dyDescent="0.3">
      <c r="B164" s="7" t="s">
        <v>120</v>
      </c>
    </row>
    <row r="166" spans="1:7" x14ac:dyDescent="0.3">
      <c r="B166" s="7" t="s">
        <v>121</v>
      </c>
    </row>
    <row r="169" spans="1:7" ht="15.6" x14ac:dyDescent="0.3">
      <c r="A169" s="3" t="s">
        <v>96</v>
      </c>
      <c r="B169" s="4" t="s">
        <v>97</v>
      </c>
      <c r="C169" s="4"/>
      <c r="D169" s="4"/>
    </row>
    <row r="170" spans="1:7" ht="15.6" x14ac:dyDescent="0.3">
      <c r="B170" s="4"/>
      <c r="C170" s="4"/>
      <c r="D170" s="4"/>
    </row>
    <row r="171" spans="1:7" ht="15.6" x14ac:dyDescent="0.3">
      <c r="B171" s="8" t="s">
        <v>98</v>
      </c>
      <c r="C171" s="8" t="s">
        <v>99</v>
      </c>
      <c r="D171" s="8" t="s">
        <v>100</v>
      </c>
    </row>
    <row r="172" spans="1:7" ht="15.6" x14ac:dyDescent="0.3">
      <c r="B172" s="8">
        <v>1</v>
      </c>
      <c r="C172" s="8">
        <v>8</v>
      </c>
      <c r="D172" s="8">
        <v>6</v>
      </c>
    </row>
    <row r="173" spans="1:7" ht="15.6" x14ac:dyDescent="0.3">
      <c r="B173" s="8">
        <v>2</v>
      </c>
      <c r="C173" s="8">
        <v>10</v>
      </c>
      <c r="D173" s="8">
        <v>9</v>
      </c>
    </row>
    <row r="174" spans="1:7" ht="15.6" x14ac:dyDescent="0.3">
      <c r="B174" s="8">
        <v>3</v>
      </c>
      <c r="C174" s="8">
        <v>12</v>
      </c>
      <c r="D174" s="8">
        <v>11</v>
      </c>
    </row>
    <row r="175" spans="1:7" ht="15.6" x14ac:dyDescent="0.3">
      <c r="B175" s="8">
        <v>4</v>
      </c>
      <c r="C175" s="8">
        <v>9</v>
      </c>
      <c r="D175" s="8">
        <v>8</v>
      </c>
    </row>
    <row r="176" spans="1:7" ht="15.6" x14ac:dyDescent="0.3">
      <c r="B176" s="8">
        <v>5</v>
      </c>
      <c r="C176" s="8">
        <v>11</v>
      </c>
      <c r="D176" s="8">
        <v>10</v>
      </c>
    </row>
    <row r="180" spans="1:8" x14ac:dyDescent="0.3">
      <c r="A180" s="3" t="s">
        <v>50</v>
      </c>
      <c r="B180" s="12" t="s">
        <v>101</v>
      </c>
    </row>
    <row r="181" spans="1:8" x14ac:dyDescent="0.3">
      <c r="D181" t="s">
        <v>102</v>
      </c>
      <c r="E181">
        <f>AVERAGE(C172:C176)</f>
        <v>10</v>
      </c>
    </row>
    <row r="182" spans="1:8" x14ac:dyDescent="0.3">
      <c r="D182" t="s">
        <v>103</v>
      </c>
      <c r="E182">
        <f>AVERAGE(D172:D176)</f>
        <v>8.8000000000000007</v>
      </c>
    </row>
    <row r="185" spans="1:8" x14ac:dyDescent="0.3">
      <c r="A185" s="3" t="s">
        <v>51</v>
      </c>
      <c r="B185" s="12" t="s">
        <v>53</v>
      </c>
    </row>
    <row r="187" spans="1:8" x14ac:dyDescent="0.3">
      <c r="C187" t="s">
        <v>98</v>
      </c>
      <c r="D187" t="s">
        <v>104</v>
      </c>
      <c r="E187" t="s">
        <v>105</v>
      </c>
      <c r="F187" t="s">
        <v>48</v>
      </c>
      <c r="G187" t="s">
        <v>112</v>
      </c>
      <c r="H187" t="s">
        <v>113</v>
      </c>
    </row>
    <row r="188" spans="1:8" x14ac:dyDescent="0.3">
      <c r="C188">
        <v>1</v>
      </c>
      <c r="D188">
        <f>C172-$E$181</f>
        <v>-2</v>
      </c>
      <c r="E188">
        <f>D172-$E$182</f>
        <v>-2.8000000000000007</v>
      </c>
      <c r="F188">
        <f>D188*E188</f>
        <v>5.6000000000000014</v>
      </c>
      <c r="G188">
        <f>POWER(D188,2)</f>
        <v>4</v>
      </c>
      <c r="H188">
        <f>POWER(E188,2)</f>
        <v>7.8400000000000043</v>
      </c>
    </row>
    <row r="189" spans="1:8" x14ac:dyDescent="0.3">
      <c r="C189">
        <v>2</v>
      </c>
      <c r="D189">
        <f t="shared" ref="D189:D192" si="12">C173-$E$181</f>
        <v>0</v>
      </c>
      <c r="E189">
        <f t="shared" ref="E189:E192" si="13">D173-$E$182</f>
        <v>0.19999999999999929</v>
      </c>
      <c r="F189">
        <f t="shared" ref="F189:F192" si="14">D189*E189</f>
        <v>0</v>
      </c>
      <c r="G189">
        <f t="shared" ref="G189:G192" si="15">POWER(D189,2)</f>
        <v>0</v>
      </c>
      <c r="H189">
        <f t="shared" ref="H189:H192" si="16">POWER(E189,2)</f>
        <v>3.9999999999999716E-2</v>
      </c>
    </row>
    <row r="190" spans="1:8" x14ac:dyDescent="0.3">
      <c r="C190">
        <v>3</v>
      </c>
      <c r="D190">
        <f t="shared" si="12"/>
        <v>2</v>
      </c>
      <c r="E190">
        <f t="shared" si="13"/>
        <v>2.1999999999999993</v>
      </c>
      <c r="F190">
        <f t="shared" si="14"/>
        <v>4.3999999999999986</v>
      </c>
      <c r="G190">
        <f t="shared" si="15"/>
        <v>4</v>
      </c>
      <c r="H190">
        <f t="shared" si="16"/>
        <v>4.8399999999999972</v>
      </c>
    </row>
    <row r="191" spans="1:8" x14ac:dyDescent="0.3">
      <c r="C191">
        <v>4</v>
      </c>
      <c r="D191">
        <f t="shared" si="12"/>
        <v>-1</v>
      </c>
      <c r="E191">
        <f t="shared" si="13"/>
        <v>-0.80000000000000071</v>
      </c>
      <c r="F191">
        <f t="shared" si="14"/>
        <v>0.80000000000000071</v>
      </c>
      <c r="G191">
        <f t="shared" si="15"/>
        <v>1</v>
      </c>
      <c r="H191">
        <f t="shared" si="16"/>
        <v>0.64000000000000112</v>
      </c>
    </row>
    <row r="192" spans="1:8" x14ac:dyDescent="0.3">
      <c r="C192">
        <v>5</v>
      </c>
      <c r="D192">
        <f t="shared" si="12"/>
        <v>1</v>
      </c>
      <c r="E192">
        <f t="shared" si="13"/>
        <v>1.1999999999999993</v>
      </c>
      <c r="F192">
        <f t="shared" si="14"/>
        <v>1.1999999999999993</v>
      </c>
      <c r="G192">
        <f t="shared" si="15"/>
        <v>1</v>
      </c>
      <c r="H192">
        <f t="shared" si="16"/>
        <v>1.4399999999999984</v>
      </c>
    </row>
    <row r="195" spans="1:5" x14ac:dyDescent="0.3">
      <c r="C195" t="s">
        <v>106</v>
      </c>
      <c r="E195">
        <f>SUM(F188:F192)</f>
        <v>12</v>
      </c>
    </row>
    <row r="198" spans="1:5" x14ac:dyDescent="0.3">
      <c r="A198" s="3" t="s">
        <v>54</v>
      </c>
      <c r="B198" s="12" t="s">
        <v>107</v>
      </c>
    </row>
    <row r="200" spans="1:5" x14ac:dyDescent="0.3">
      <c r="C200" t="s">
        <v>108</v>
      </c>
      <c r="E200">
        <f>12/5</f>
        <v>2.4</v>
      </c>
    </row>
    <row r="203" spans="1:5" x14ac:dyDescent="0.3">
      <c r="A203" s="3" t="s">
        <v>109</v>
      </c>
      <c r="B203" s="12" t="s">
        <v>110</v>
      </c>
    </row>
    <row r="205" spans="1:5" x14ac:dyDescent="0.3">
      <c r="B205" t="s">
        <v>111</v>
      </c>
      <c r="C205">
        <f>SQRT(SUM(G188:G192)/5)</f>
        <v>1.4142135623730951</v>
      </c>
    </row>
    <row r="207" spans="1:5" x14ac:dyDescent="0.3">
      <c r="B207" t="s">
        <v>114</v>
      </c>
      <c r="C207">
        <f>SQRT(SUM(H188:H192)/5)</f>
        <v>1.7204650534085253</v>
      </c>
    </row>
    <row r="210" spans="1:6" x14ac:dyDescent="0.3">
      <c r="A210" s="3" t="s">
        <v>115</v>
      </c>
      <c r="B210" s="12" t="s">
        <v>116</v>
      </c>
    </row>
    <row r="212" spans="1:6" x14ac:dyDescent="0.3">
      <c r="C212" t="s">
        <v>117</v>
      </c>
      <c r="F212" s="3">
        <f>E200/(C205*C207)</f>
        <v>0.98639392383214364</v>
      </c>
    </row>
    <row r="216" spans="1:6" x14ac:dyDescent="0.3">
      <c r="B216" s="7" t="s">
        <v>123</v>
      </c>
    </row>
    <row r="218" spans="1:6" x14ac:dyDescent="0.3">
      <c r="B218" s="7" t="s">
        <v>122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Goel</dc:creator>
  <cp:lastModifiedBy>Priya Goel</cp:lastModifiedBy>
  <dcterms:created xsi:type="dcterms:W3CDTF">2026-01-16T11:56:18Z</dcterms:created>
  <dcterms:modified xsi:type="dcterms:W3CDTF">2026-01-17T04:50:25Z</dcterms:modified>
</cp:coreProperties>
</file>